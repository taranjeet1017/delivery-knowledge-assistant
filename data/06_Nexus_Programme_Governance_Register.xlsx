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43295ec1e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endencies" sheetId="1" r:id="Rf16304edf2d84f58"/>
    <x:sheet xmlns:r="http://schemas.openxmlformats.org/officeDocument/2006/relationships" name="Risks_Issues" sheetId="2" r:id="R6f53bf8a02184d6a"/>
    <x:sheet xmlns:r="http://schemas.openxmlformats.org/officeDocument/2006/relationships" name="Actions" sheetId="3" r:id="R1102097cf3024874"/>
    <x:sheet xmlns:r="http://schemas.openxmlformats.org/officeDocument/2006/relationships" name="Summary" sheetId="4" r:id="Rc16383d5b094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e643e38594088" /><Relationship Type="http://schemas.openxmlformats.org/officeDocument/2006/relationships/theme" Target="/xl/theme/theme1.xml" Id="Rf9177ce66516476e" /><Relationship Type="http://schemas.openxmlformats.org/officeDocument/2006/relationships/sharedStrings" Target="/xl/sharedStrings.xml" Id="Rc119358cfb0e4c1e" /><Relationship Type="http://schemas.openxmlformats.org/officeDocument/2006/relationships/worksheet" Target="/xl/worksheets/sheet1.xml" Id="Rf16304edf2d84f58" /><Relationship Type="http://schemas.openxmlformats.org/officeDocument/2006/relationships/worksheet" Target="/xl/worksheets/sheet2.xml" Id="R6f53bf8a02184d6a" /><Relationship Type="http://schemas.openxmlformats.org/officeDocument/2006/relationships/worksheet" Target="/xl/worksheets/sheet3.xml" Id="R1102097cf3024874" /><Relationship Type="http://schemas.openxmlformats.org/officeDocument/2006/relationships/worksheet" Target="/xl/worksheets/sheet4.xml" Id="Rc16383d5b09440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763fd2a8ba41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Dependency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'Summary'!$D$5:$D$8</c:f>
              <c:strCache>
                <c:ptCount val="0"/>
              </c:strCache>
            </c:strRef>
          </c:cat>
          <c:val>
            <c:numRef>
              <c:f>'Summary'!$E$5:$E$8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63fd2a8ba41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pendenciesTable" displayName="DependenciesTable" ref="A1:I15" headerRowCount="1" totalsRowCount="0" totalsRowShown="0">
  <x:tableColumns count="9">
    <x:tableColumn id="1" name="Dependency ID"/>
    <x:tableColumn id="2" name="Category"/>
    <x:tableColumn id="3" name="Dependency / Description"/>
    <x:tableColumn id="4" name="Owner"/>
    <x:tableColumn id="5" name="Due Date"/>
    <x:tableColumn id="6" name="Status"/>
    <x:tableColumn id="7" name="Resolved On"/>
    <x:tableColumn id="8" name="Impact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IssueTable" displayName="RiskIssueTable" ref="A1:J9" headerRowCount="1" totalsRowCount="0" totalsRowShown="0">
  <x:tableColumns count="10">
    <x:tableColumn id="1" name="ID"/>
    <x:tableColumn id="2" name="Type"/>
    <x:tableColumn id="3" name="Description"/>
    <x:tableColumn id="4" name="Date Identified"/>
    <x:tableColumn id="5" name="Owner"/>
    <x:tableColumn id="6" name="Probability"/>
    <x:tableColumn id="7" name="Impact"/>
    <x:tableColumn id="8" name="Status"/>
    <x:tableColumn id="9" name="Mitigation / Next Step"/>
    <x:tableColumn id="10" name="Target 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Table" displayName="ActionTable" ref="A1:H12" headerRowCount="1" totalsRowCount="0" totalsRowShown="0">
  <x:tableColumns count="8">
    <x:tableColumn id="1" name="Action ID"/>
    <x:tableColumn id="2" name="Source"/>
    <x:tableColumn id="3" name="Action"/>
    <x:tableColumn id="4" name="Owner"/>
    <x:tableColumn id="5" name="Due Date"/>
    <x:tableColumn id="6" name="Status"/>
    <x:tableColumn id="7" name="Completed On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1e88cda48a49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025631b56b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54d45017bf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f398e921cbc4a4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45" hidden="0" customWidth="1"/>
  </x:cols>
  <x:sheetData>
    <x:row r="1">
      <x:c r="A1" s="6" t="str">
        <x:v>Dependency ID</x:v>
      </x:c>
      <x:c r="B1" s="6" t="str">
        <x:v>Category</x:v>
      </x:c>
      <x:c r="C1" s="6" t="str">
        <x:v>Dependency / Description</x:v>
      </x:c>
      <x:c r="D1" s="6" t="str">
        <x:v>Owner</x:v>
      </x:c>
      <x:c r="E1" s="6" t="str">
        <x:v>Due Date</x:v>
      </x:c>
      <x:c r="F1" s="6" t="str">
        <x:v>Status</x:v>
      </x:c>
      <x:c r="G1" s="6" t="str">
        <x:v>Resolved On</x:v>
      </x:c>
      <x:c r="H1" s="6" t="str">
        <x:v>Impact</x:v>
      </x:c>
      <x:c r="I1" s="6" t="str">
        <x:v>Notes</x:v>
      </x:c>
    </x:row>
    <x:row r="2">
      <x:c r="A2" s="12" t="str">
        <x:v>DEP-001</x:v>
      </x:c>
      <x:c r="B2" s="12" t="str">
        <x:v>Access &amp; Environment</x:v>
      </x:c>
      <x:c r="C2" s="12" t="str">
        <x:v>Identity Service sandbox access for admin-role testing</x:v>
      </x:c>
      <x:c r="D2" s="12" t="str">
        <x:v>Client Identity</x:v>
      </x:c>
      <x:c r="E2" s="14" t="n">
        <x:v>46164</x:v>
      </x:c>
      <x:c r="F2" s="14" t="str">
        <x:v>Resolved</x:v>
      </x:c>
      <x:c r="G2" s="14" t="n">
        <x:v>46165</x:v>
      </x:c>
      <x:c r="H2" s="12" t="str">
        <x:v>Medium</x:v>
      </x:c>
      <x:c r="I2" s="12" t="str">
        <x:v>Sandbox credentials issued; role-assignment examples still required.</x:v>
      </x:c>
    </x:row>
    <x:row r="3">
      <x:c r="A3" s="12" t="str">
        <x:v>DEP-002</x:v>
      </x:c>
      <x:c r="B3" s="12" t="str">
        <x:v>Access &amp; Environment</x:v>
      </x:c>
      <x:c r="C3" s="12" t="str">
        <x:v>QA and Stage database schema-owner permissions</x:v>
      </x:c>
      <x:c r="D3" s="12" t="str">
        <x:v>Client Platform</x:v>
      </x:c>
      <x:c r="E3" s="14" t="n">
        <x:v>46162</x:v>
      </x:c>
      <x:c r="F3" s="14" t="str">
        <x:v>Resolved</x:v>
      </x:c>
      <x:c r="G3" s="14" t="n">
        <x:v>46163</x:v>
      </x:c>
      <x:c r="H3" s="12" t="str">
        <x:v>High</x:v>
      </x:c>
      <x:c r="I3" s="12" t="str">
        <x:v>Elevated rights granted for controlled schema deployment window.</x:v>
      </x:c>
    </x:row>
    <x:row r="4">
      <x:c r="A4" s="12" t="str">
        <x:v>DEP-003</x:v>
      </x:c>
      <x:c r="B4" s="12" t="str">
        <x:v>Architecture</x:v>
      </x:c>
      <x:c r="C4" s="12" t="str">
        <x:v>Final admin-role API contract and permission mapping</x:v>
      </x:c>
      <x:c r="D4" s="12" t="str">
        <x:v>Client Identity</x:v>
      </x:c>
      <x:c r="E4" s="14" t="n">
        <x:v>46164</x:v>
      </x:c>
      <x:c r="F4" s="14" t="str">
        <x:v>Resolved</x:v>
      </x:c>
      <x:c r="G4" s="14" t="n">
        <x:v>46169</x:v>
      </x:c>
      <x:c r="H4" s="12" t="str">
        <x:v>High</x:v>
      </x:c>
      <x:c r="I4" s="12" t="str">
        <x:v>Swagger updated with role and permission examples.</x:v>
      </x:c>
    </x:row>
    <x:row r="5">
      <x:c r="A5" s="12" t="str">
        <x:v>DEP-004</x:v>
      </x:c>
      <x:c r="B5" s="12" t="str">
        <x:v>Design &amp; UX</x:v>
      </x:c>
      <x:c r="C5" s="12" t="str">
        <x:v>Design-system mapping for legacy-style admin controls</x:v>
      </x:c>
      <x:c r="D5" s="12" t="str">
        <x:v>Client UX</x:v>
      </x:c>
      <x:c r="E5" s="14" t="n">
        <x:v>46167</x:v>
      </x:c>
      <x:c r="F5" s="14" t="str">
        <x:v>Resolved</x:v>
      </x:c>
      <x:c r="G5" s="14" t="n">
        <x:v>46168</x:v>
      </x:c>
      <x:c r="H5" s="12" t="str">
        <x:v>Low</x:v>
      </x:c>
      <x:c r="I5" s="12" t="str">
        <x:v>Primary/secondary/tertiary action guidance shared.</x:v>
      </x:c>
    </x:row>
    <x:row r="6">
      <x:c r="A6" s="12" t="str">
        <x:v>DEP-005</x:v>
      </x:c>
      <x:c r="B6" s="12" t="str">
        <x:v>Testing</x:v>
      </x:c>
      <x:c r="C6" s="12" t="str">
        <x:v>Confirmation of performance/load-testing ownership</x:v>
      </x:c>
      <x:c r="D6" s="12" t="str">
        <x:v>Program Leadership</x:v>
      </x:c>
      <x:c r="E6" s="14" t="n">
        <x:v>46163</x:v>
      </x:c>
      <x:c r="F6" s="14" t="str">
        <x:v>Resolved</x:v>
      </x:c>
      <x:c r="G6" s="14" t="n">
        <x:v>46164</x:v>
      </x:c>
      <x:c r="H6" s="12" t="str">
        <x:v>Medium</x:v>
      </x:c>
      <x:c r="I6" s="12" t="str">
        <x:v>Delivery team executes tests; client SRE provides production-like environment support.</x:v>
      </x:c>
    </x:row>
    <x:row r="7">
      <x:c r="A7" s="12" t="str">
        <x:v>DEP-006</x:v>
      </x:c>
      <x:c r="B7" s="12" t="str">
        <x:v>Environment</x:v>
      </x:c>
      <x:c r="C7" s="12" t="str">
        <x:v>Production database schema delta and final alignment scripts</x:v>
      </x:c>
      <x:c r="D7" s="12" t="str">
        <x:v>Client DBA</x:v>
      </x:c>
      <x:c r="E7" s="14" t="n">
        <x:v>46186</x:v>
      </x:c>
      <x:c r="F7" s="14" t="str">
        <x:v>Resolved</x:v>
      </x:c>
      <x:c r="G7" s="14" t="n">
        <x:v>46187</x:v>
      </x:c>
      <x:c r="H7" s="12" t="str">
        <x:v>High</x:v>
      </x:c>
      <x:c r="I7" s="12" t="str">
        <x:v>Final schema comparison completed and scripts approved.</x:v>
      </x:c>
    </x:row>
    <x:row r="8">
      <x:c r="A8" s="12" t="str">
        <x:v>DEP-007</x:v>
      </x:c>
      <x:c r="B8" s="12" t="str">
        <x:v>Integration</x:v>
      </x:c>
      <x:c r="C8" s="12" t="str">
        <x:v>Invoice export downstream validation fix</x:v>
      </x:c>
      <x:c r="D8" s="12" t="str">
        <x:v>Client Integration</x:v>
      </x:c>
      <x:c r="E8" s="14" t="n">
        <x:v>46188</x:v>
      </x:c>
      <x:c r="F8" s="14" t="str">
        <x:v>In Progress</x:v>
      </x:c>
      <x:c r="G8" s="14"/>
      <x:c r="H8" s="12" t="str">
        <x:v>High</x:v>
      </x:c>
      <x:c r="I8" s="12" t="str">
        <x:v>Single remaining blocker for Phase 1 UAT entry.</x:v>
      </x:c>
    </x:row>
    <x:row r="9">
      <x:c r="A9" s="12" t="str">
        <x:v>DEP-008</x:v>
      </x:c>
      <x:c r="B9" s="12" t="str">
        <x:v>Release</x:v>
      </x:c>
      <x:c r="C9" s="12" t="str">
        <x:v>Legacy production deployment required before modernized production sanity</x:v>
      </x:c>
      <x:c r="D9" s="12" t="str">
        <x:v>Client SRE</x:v>
      </x:c>
      <x:c r="E9" s="14" t="n">
        <x:v>46206</x:v>
      </x:c>
      <x:c r="F9" s="14" t="str">
        <x:v>Open</x:v>
      </x:c>
      <x:c r="G9" s="14"/>
      <x:c r="H9" s="12" t="str">
        <x:v>Critical</x:v>
      </x:c>
      <x:c r="I9" s="12" t="str">
        <x:v>Previous deployment rolled back after performance instability.</x:v>
      </x:c>
    </x:row>
    <x:row r="10">
      <x:c r="A10" s="12" t="str">
        <x:v>DEP-009</x:v>
      </x:c>
      <x:c r="B10" s="12" t="str">
        <x:v>Testing</x:v>
      </x:c>
      <x:c r="C10" s="12" t="str">
        <x:v>Named UAT business testers and availability</x:v>
      </x:c>
      <x:c r="D10" s="12" t="str">
        <x:v>Client Product</x:v>
      </x:c>
      <x:c r="E10" s="14" t="n">
        <x:v>46185</x:v>
      </x:c>
      <x:c r="F10" s="14" t="str">
        <x:v>Resolved</x:v>
      </x:c>
      <x:c r="G10" s="14" t="n">
        <x:v>46185</x:v>
      </x:c>
      <x:c r="H10" s="12" t="str">
        <x:v>Medium</x:v>
      </x:c>
      <x:c r="I10" s="12" t="str">
        <x:v>Eight business testers confirmed.</x:v>
      </x:c>
    </x:row>
    <x:row r="11">
      <x:c r="A11" s="12" t="str">
        <x:v>DEP-010</x:v>
      </x:c>
      <x:c r="B11" s="12" t="str">
        <x:v>Phase 2</x:v>
      </x:c>
      <x:c r="C11" s="12" t="str">
        <x:v>Unified Identity API sandbox access and endpoint list</x:v>
      </x:c>
      <x:c r="D11" s="12" t="str">
        <x:v>Client Identity</x:v>
      </x:c>
      <x:c r="E11" s="14" t="n">
        <x:v>46202</x:v>
      </x:c>
      <x:c r="F11" s="14" t="str">
        <x:v>Open</x:v>
      </x:c>
      <x:c r="G11" s="14"/>
      <x:c r="H11" s="12" t="str">
        <x:v>High</x:v>
      </x:c>
      <x:c r="I11" s="12" t="str">
        <x:v>Required to estimate and start Phase 2 migration utility.</x:v>
      </x:c>
    </x:row>
    <x:row r="12">
      <x:c r="A12" s="12" t="str">
        <x:v>DEP-011</x:v>
      </x:c>
      <x:c r="B12" s="12" t="str">
        <x:v>Phase 2</x:v>
      </x:c>
      <x:c r="C12" s="12" t="str">
        <x:v>Source-to-target field mapping for learner-entitlement migration</x:v>
      </x:c>
      <x:c r="D12" s="12" t="str">
        <x:v>Client Product</x:v>
      </x:c>
      <x:c r="E12" s="14" t="n">
        <x:v>46203</x:v>
      </x:c>
      <x:c r="F12" s="14" t="str">
        <x:v>Open</x:v>
      </x:c>
      <x:c r="G12" s="14"/>
      <x:c r="H12" s="12" t="str">
        <x:v>High</x:v>
      </x:c>
      <x:c r="I12" s="12" t="str">
        <x:v>Must include duplicate, inactive, and invalid-record scenarios.</x:v>
      </x:c>
    </x:row>
    <x:row r="13">
      <x:c r="A13" s="12" t="str">
        <x:v>DEP-012</x:v>
      </x:c>
      <x:c r="B13" s="12" t="str">
        <x:v>Phase 2</x:v>
      </x:c>
      <x:c r="C13" s="12" t="str">
        <x:v>Representative sample data for migration rehearsal</x:v>
      </x:c>
      <x:c r="D13" s="12" t="str">
        <x:v>Client Product</x:v>
      </x:c>
      <x:c r="E13" s="14" t="n">
        <x:v>46203</x:v>
      </x:c>
      <x:c r="F13" s="14" t="str">
        <x:v>Open</x:v>
      </x:c>
      <x:c r="G13" s="14"/>
      <x:c r="H13" s="12" t="str">
        <x:v>Medium</x:v>
      </x:c>
      <x:c r="I13" s="12" t="str">
        <x:v>Synthetic sample is acceptable for development; masked production sample needed later.</x:v>
      </x:c>
    </x:row>
    <x:row r="14">
      <x:c r="A14" s="12" t="str">
        <x:v>DEP-013</x:v>
      </x:c>
      <x:c r="B14" s="12" t="str">
        <x:v>Environment</x:v>
      </x:c>
      <x:c r="C14" s="12" t="str">
        <x:v>Safari browser device coverage for candidate portal</x:v>
      </x:c>
      <x:c r="D14" s="12" t="str">
        <x:v>Client QA</x:v>
      </x:c>
      <x:c r="E14" s="14" t="n">
        <x:v>46205</x:v>
      </x:c>
      <x:c r="F14" s="14" t="str">
        <x:v>In Progress</x:v>
      </x:c>
      <x:c r="G14" s="14"/>
      <x:c r="H14" s="12" t="str">
        <x:v>Low</x:v>
      </x:c>
      <x:c r="I14" s="12" t="str">
        <x:v>Execution 70% complete as of 26-Jun.</x:v>
      </x:c>
    </x:row>
    <x:row r="15">
      <x:c r="A15" s="12" t="str">
        <x:v>DEP-014</x:v>
      </x:c>
      <x:c r="B15" s="12" t="str">
        <x:v>Accessibility</x:v>
      </x:c>
      <x:c r="C15" s="12" t="str">
        <x:v>Accessibility review for candidate-facing screens</x:v>
      </x:c>
      <x:c r="D15" s="12" t="str">
        <x:v>Delivery QA</x:v>
      </x:c>
      <x:c r="E15" s="14" t="n">
        <x:v>46209</x:v>
      </x:c>
      <x:c r="F15" s="14" t="str">
        <x:v>In Progress</x:v>
      </x:c>
      <x:c r="G15" s="14"/>
      <x:c r="H15" s="12" t="str">
        <x:v>Medium</x:v>
      </x:c>
      <x:c r="I15" s="12" t="str">
        <x:v>Two medium issues logged; no blocker identified.</x:v>
      </x:c>
    </x:row>
  </x:sheetData>
  <x:conditionalFormatting sqref="F2:F15">
    <x:cfRule type="expression" dxfId="0" priority="1">
      <x:formula>F2="Open"</x:formula>
    </x:cfRule>
    <x:cfRule type="expression" dxfId="1" priority="2">
      <x:formula>F2="In Progress"</x:formula>
    </x:cfRule>
    <x:cfRule type="expression" dxfId="2" priority="3">
      <x:formula>F2="Resolved"</x:formula>
    </x:cfRule>
  </x:conditionalFormatting>
  <x:dataValidations count="1">
    <x:dataValidation type="list" sqref="F2:F15">
      <x:formula1>"Open,In Progress,Resolved,On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1e88cda48a49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  <x:col min="8" max="8" width="14" hidden="0" customWidth="1"/>
    <x:col min="9" max="9" width="48" hidden="0" customWidth="1"/>
    <x:col min="10" max="10" width="14" hidden="0" customWidth="1"/>
  </x:cols>
  <x:sheetData>
    <x:row r="1">
      <x:c r="A1" s="5" t="str">
        <x:v>ID</x:v>
      </x:c>
      <x:c r="B1" s="5" t="str">
        <x:v>Type</x:v>
      </x:c>
      <x:c r="C1" s="5" t="str">
        <x:v>Description</x:v>
      </x:c>
      <x:c r="D1" s="5" t="str">
        <x:v>Date Identified</x:v>
      </x:c>
      <x:c r="E1" s="5" t="str">
        <x:v>Owner</x:v>
      </x:c>
      <x:c r="F1" s="5" t="str">
        <x:v>Probability</x:v>
      </x:c>
      <x:c r="G1" s="5" t="str">
        <x:v>Impact</x:v>
      </x:c>
      <x:c r="H1" s="5" t="str">
        <x:v>Status</x:v>
      </x:c>
      <x:c r="I1" s="5" t="str">
        <x:v>Mitigation / Next Step</x:v>
      </x:c>
      <x:c r="J1" s="5" t="str">
        <x:v>Target Review</x:v>
      </x:c>
    </x:row>
    <x:row r="2">
      <x:c r="A2" s="12" t="str">
        <x:v>R-001</x:v>
      </x:c>
      <x:c r="B2" s="12" t="str">
        <x:v>Risk</x:v>
      </x:c>
      <x:c r="C2" s="12" t="str">
        <x:v>UAT start may slip if legacy production deployment is not stable.</x:v>
      </x:c>
      <x:c r="D2" s="14" t="n">
        <x:v>46191</x:v>
      </x:c>
      <x:c r="E2" s="12" t="str">
        <x:v>Alex Morgan</x:v>
      </x:c>
      <x:c r="F2" s="12" t="str">
        <x:v>High</x:v>
      </x:c>
      <x:c r="G2" s="12" t="str">
        <x:v>High</x:v>
      </x:c>
      <x:c r="H2" s="12" t="str">
        <x:v>Open</x:v>
      </x:c>
      <x:c r="I2" s="12" t="str">
        <x:v>Daily SRE checkpoint; execute smoke suite immediately after redeploy; keep rollback plan ready.</x:v>
      </x:c>
      <x:c r="J2" s="14" t="n">
        <x:v>46206</x:v>
      </x:c>
    </x:row>
    <x:row r="3">
      <x:c r="A3" s="12" t="str">
        <x:v>I-002</x:v>
      </x:c>
      <x:c r="B3" s="12" t="str">
        <x:v>Issue</x:v>
      </x:c>
      <x:c r="C3" s="12" t="str">
        <x:v>Invoice export fails downstream validation for one production-like workflow.</x:v>
      </x:c>
      <x:c r="D3" s="14" t="n">
        <x:v>46183</x:v>
      </x:c>
      <x:c r="E3" s="12" t="str">
        <x:v>Client Integration</x:v>
      </x:c>
      <x:c r="F3" s="12" t="str">
        <x:v>N/A</x:v>
      </x:c>
      <x:c r="G3" s="12" t="str">
        <x:v>Critical</x:v>
      </x:c>
      <x:c r="H3" s="12" t="str">
        <x:v>In Progress</x:v>
      </x:c>
      <x:c r="I3" s="12" t="str">
        <x:v>Client integration team to deploy fix to Stage and complete joint validation.</x:v>
      </x:c>
      <x:c r="J3" s="14" t="n">
        <x:v>46203</x:v>
      </x:c>
    </x:row>
    <x:row r="4">
      <x:c r="A4" s="12" t="str">
        <x:v>R-003</x:v>
      </x:c>
      <x:c r="B4" s="12" t="str">
        <x:v>Risk</x:v>
      </x:c>
      <x:c r="C4" s="12" t="str">
        <x:v>Phase 2 timeline may be missed because Identity APIs and data mapping are not yet available.</x:v>
      </x:c>
      <x:c r="D4" s="14" t="n">
        <x:v>46181</x:v>
      </x:c>
      <x:c r="E4" s="12" t="str">
        <x:v>Maya Collins</x:v>
      </x:c>
      <x:c r="F4" s="12" t="str">
        <x:v>High</x:v>
      </x:c>
      <x:c r="G4" s="12" t="str">
        <x:v>High</x:v>
      </x:c>
      <x:c r="H4" s="12" t="str">
        <x:v>Open</x:v>
      </x:c>
      <x:c r="I4" s="12" t="str">
        <x:v>Leadership escalation; do not baseline estimate until inputs are complete.</x:v>
      </x:c>
      <x:c r="J4" s="14" t="n">
        <x:v>46203</x:v>
      </x:c>
    </x:row>
    <x:row r="5">
      <x:c r="A5" s="12" t="str">
        <x:v>R-004</x:v>
      </x:c>
      <x:c r="B5" s="12" t="str">
        <x:v>Risk</x:v>
      </x:c>
      <x:c r="C5" s="12" t="str">
        <x:v>Late client defect validation could create rework close to UAT.</x:v>
      </x:c>
      <x:c r="D5" s="14" t="n">
        <x:v>46181</x:v>
      </x:c>
      <x:c r="E5" s="12" t="str">
        <x:v>Maya Collins</x:v>
      </x:c>
      <x:c r="F5" s="12" t="str">
        <x:v>Medium</x:v>
      </x:c>
      <x:c r="G5" s="12" t="str">
        <x:v>Medium</x:v>
      </x:c>
      <x:c r="H5" s="12" t="str">
        <x:v>Open</x:v>
      </x:c>
      <x:c r="I5" s="12" t="str">
        <x:v>24-hour validation target for blocker/critical defects; daily aging review.</x:v>
      </x:c>
      <x:c r="J5" s="14" t="n">
        <x:v>46204</x:v>
      </x:c>
    </x:row>
    <x:row r="6">
      <x:c r="A6" s="12" t="str">
        <x:v>I-005</x:v>
      </x:c>
      <x:c r="B6" s="12" t="str">
        <x:v>Issue</x:v>
      </x:c>
      <x:c r="C6" s="12" t="str">
        <x:v>Legacy production deployment rolled back after load-test instability.</x:v>
      </x:c>
      <x:c r="D6" s="14" t="n">
        <x:v>46196</x:v>
      </x:c>
      <x:c r="E6" s="12" t="str">
        <x:v>Client SRE</x:v>
      </x:c>
      <x:c r="F6" s="12" t="str">
        <x:v>N/A</x:v>
      </x:c>
      <x:c r="G6" s="12" t="str">
        <x:v>High</x:v>
      </x:c>
      <x:c r="H6" s="12" t="str">
        <x:v>Open</x:v>
      </x:c>
      <x:c r="I6" s="12" t="str">
        <x:v>Tune connection pool and background-job concurrency, then rerun 3x load test before redeploy.</x:v>
      </x:c>
      <x:c r="J6" s="14" t="n">
        <x:v>46206</x:v>
      </x:c>
    </x:row>
    <x:row r="7">
      <x:c r="A7" s="12" t="str">
        <x:v>R-006</x:v>
      </x:c>
      <x:c r="B7" s="12" t="str">
        <x:v>Risk</x:v>
      </x:c>
      <x:c r="C7" s="12" t="str">
        <x:v>Migration utility scope may increase Phase 2 effort beyond fixed-price baseline.</x:v>
      </x:c>
      <x:c r="D7" s="14" t="n">
        <x:v>46197</x:v>
      </x:c>
      <x:c r="E7" s="12" t="str">
        <x:v>Alex Morgan</x:v>
      </x:c>
      <x:c r="F7" s="12" t="str">
        <x:v>High</x:v>
      </x:c>
      <x:c r="G7" s="12" t="str">
        <x:v>High</x:v>
      </x:c>
      <x:c r="H7" s="12" t="str">
        <x:v>Open</x:v>
      </x:c>
      <x:c r="I7" s="12" t="str">
        <x:v>Log formal change, prepare impact assessment, and seek written approval before baselining.</x:v>
      </x:c>
      <x:c r="J7" s="14" t="n">
        <x:v>46210</x:v>
      </x:c>
    </x:row>
    <x:row r="8">
      <x:c r="A8" s="12" t="str">
        <x:v>R-007</x:v>
      </x:c>
      <x:c r="B8" s="12" t="str">
        <x:v>Risk</x:v>
      </x:c>
      <x:c r="C8" s="12" t="str">
        <x:v>Candidate-facing accessibility defects may delay release if discovered late.</x:v>
      </x:c>
      <x:c r="D8" s="14" t="n">
        <x:v>46195</x:v>
      </x:c>
      <x:c r="E8" s="12" t="str">
        <x:v>Liam Foster</x:v>
      </x:c>
      <x:c r="F8" s="12" t="str">
        <x:v>Medium</x:v>
      </x:c>
      <x:c r="G8" s="12" t="str">
        <x:v>Medium</x:v>
      </x:c>
      <x:c r="H8" s="12" t="str">
        <x:v>In Progress</x:v>
      </x:c>
      <x:c r="I8" s="12" t="str">
        <x:v>Run accessibility testing in parallel with UAT and treat blocking violations as release criteria.</x:v>
      </x:c>
      <x:c r="J8" s="14" t="n">
        <x:v>46209</x:v>
      </x:c>
    </x:row>
    <x:row r="9">
      <x:c r="A9" s="12" t="str">
        <x:v>I-008</x:v>
      </x:c>
      <x:c r="B9" s="12" t="str">
        <x:v>Issue</x:v>
      </x:c>
      <x:c r="C9" s="12" t="str">
        <x:v>Safari validation is incomplete due to limited device coverage.</x:v>
      </x:c>
      <x:c r="D9" s="14" t="n">
        <x:v>46198</x:v>
      </x:c>
      <x:c r="E9" s="12" t="str">
        <x:v>Client QA</x:v>
      </x:c>
      <x:c r="F9" s="12" t="str">
        <x:v>N/A</x:v>
      </x:c>
      <x:c r="G9" s="12" t="str">
        <x:v>Low</x:v>
      </x:c>
      <x:c r="H9" s="12" t="str">
        <x:v>In Progress</x:v>
      </x:c>
      <x:c r="I9" s="12" t="str">
        <x:v>Reserve device-lab slots and complete remaining candidate workflows.</x:v>
      </x:c>
      <x:c r="J9" s="14" t="n">
        <x:v>46205</x:v>
      </x:c>
    </x:row>
  </x:sheetData>
  <x:pageMargins left="0.7" right="0.7" top="0.75" bottom="0.75" header="0.3" footer="0.3"/>
  <x:tableParts count="1">
    <x:tablePart xmlns:r="http://schemas.openxmlformats.org/officeDocument/2006/relationships" r:id="Rfd025631b56b47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40" hidden="0" customWidth="1"/>
  </x:cols>
  <x:sheetData>
    <x:row r="1">
      <x:c r="A1" s="5" t="str">
        <x:v>Action ID</x:v>
      </x:c>
      <x:c r="B1" s="5" t="str">
        <x:v>Source</x:v>
      </x:c>
      <x:c r="C1" s="5" t="str">
        <x:v>Action</x:v>
      </x:c>
      <x:c r="D1" s="5" t="str">
        <x:v>Owner</x:v>
      </x:c>
      <x:c r="E1" s="5" t="str">
        <x:v>Due Date</x:v>
      </x:c>
      <x:c r="F1" s="5" t="str">
        <x:v>Status</x:v>
      </x:c>
      <x:c r="G1" s="5" t="str">
        <x:v>Completed On</x:v>
      </x:c>
      <x:c r="H1" s="5" t="str">
        <x:v>Notes</x:v>
      </x:c>
    </x:row>
    <x:row r="2">
      <x:c r="A2" s="12" t="str">
        <x:v>ACT-001</x:v>
      </x:c>
      <x:c r="B2" s="12" t="str">
        <x:v>Architecture Meeting - 18-May</x:v>
      </x:c>
      <x:c r="C2" s="12" t="str">
        <x:v>Share finalized admin-role API examples and permission IDs</x:v>
      </x:c>
      <x:c r="D2" s="12" t="str">
        <x:v>Ethan Brooks</x:v>
      </x:c>
      <x:c r="E2" s="14" t="n">
        <x:v>46164</x:v>
      </x:c>
      <x:c r="F2" s="12" t="str">
        <x:v>Done</x:v>
      </x:c>
      <x:c r="G2" s="14" t="n">
        <x:v>46169</x:v>
      </x:c>
      <x:c r="H2" s="12" t="str">
        <x:v>Completed five days late; examples added to Swagger.</x:v>
      </x:c>
    </x:row>
    <x:row r="3">
      <x:c r="A3" s="12" t="str">
        <x:v>ACT-002</x:v>
      </x:c>
      <x:c r="B3" s="12" t="str">
        <x:v>Architecture Meeting - 18-May</x:v>
      </x:c>
      <x:c r="C3" s="12" t="str">
        <x:v>Provide database schema-owner access for QA and Stage</x:v>
      </x:c>
      <x:c r="D3" s="12" t="str">
        <x:v>Maya Collins</x:v>
      </x:c>
      <x:c r="E3" s="14" t="n">
        <x:v>46162</x:v>
      </x:c>
      <x:c r="F3" s="12" t="str">
        <x:v>Done</x:v>
      </x:c>
      <x:c r="G3" s="14" t="n">
        <x:v>46163</x:v>
      </x:c>
      <x:c r="H3" s="12" t="str">
        <x:v>Controlled elevated access granted.</x:v>
      </x:c>
    </x:row>
    <x:row r="4">
      <x:c r="A4" s="12" t="str">
        <x:v>ACT-003</x:v>
      </x:c>
      <x:c r="B4" s="12" t="str">
        <x:v>Architecture Meeting - 18-May</x:v>
      </x:c>
      <x:c r="C4" s="12" t="str">
        <x:v>Publish migration scripts to repository /database/scripts</x:v>
      </x:c>
      <x:c r="D4" s="12" t="str">
        <x:v>Sofia Ramirez</x:v>
      </x:c>
      <x:c r="E4" s="14" t="n">
        <x:v>46161</x:v>
      </x:c>
      <x:c r="F4" s="12" t="str">
        <x:v>Done</x:v>
      </x:c>
      <x:c r="G4" s="14" t="n">
        <x:v>46161</x:v>
      </x:c>
      <x:c r="H4" s="12" t="str">
        <x:v>Scripts versioned with rollback notes.</x:v>
      </x:c>
    </x:row>
    <x:row r="5">
      <x:c r="A5" s="12" t="str">
        <x:v>ACT-004</x:v>
      </x:c>
      <x:c r="B5" s="12" t="str">
        <x:v>Architecture Meeting - 18-May</x:v>
      </x:c>
      <x:c r="C5" s="12" t="str">
        <x:v>Confirm performance/load-testing scope and ownership</x:v>
      </x:c>
      <x:c r="D5" s="12" t="str">
        <x:v>Alex Morgan</x:v>
      </x:c>
      <x:c r="E5" s="14" t="n">
        <x:v>46163</x:v>
      </x:c>
      <x:c r="F5" s="12" t="str">
        <x:v>Done</x:v>
      </x:c>
      <x:c r="G5" s="14" t="n">
        <x:v>46164</x:v>
      </x:c>
      <x:c r="H5" s="12" t="str">
        <x:v>Delivery owns execution; Client SRE supports environment.</x:v>
      </x:c>
    </x:row>
    <x:row r="6">
      <x:c r="A6" s="12" t="str">
        <x:v>ACT-005</x:v>
      </x:c>
      <x:c r="B6" s="12" t="str">
        <x:v>WSR - 08-Jun</x:v>
      </x:c>
      <x:c r="C6" s="12" t="str">
        <x:v>Confirm UAT business testers and availability</x:v>
      </x:c>
      <x:c r="D6" s="12" t="str">
        <x:v>Maya Collins</x:v>
      </x:c>
      <x:c r="E6" s="14" t="n">
        <x:v>46185</x:v>
      </x:c>
      <x:c r="F6" s="12" t="str">
        <x:v>Done</x:v>
      </x:c>
      <x:c r="G6" s="14" t="n">
        <x:v>46185</x:v>
      </x:c>
      <x:c r="H6" s="12" t="str">
        <x:v>Eight testers confirmed.</x:v>
      </x:c>
    </x:row>
    <x:row r="7">
      <x:c r="A7" s="12" t="str">
        <x:v>ACT-006</x:v>
      </x:c>
      <x:c r="B7" s="12" t="str">
        <x:v>WSR - 08-Jun</x:v>
      </x:c>
      <x:c r="C7" s="12" t="str">
        <x:v>Resolve invoice export downstream validation issue</x:v>
      </x:c>
      <x:c r="D7" s="12" t="str">
        <x:v>Client Integration</x:v>
      </x:c>
      <x:c r="E7" s="14" t="n">
        <x:v>46188</x:v>
      </x:c>
      <x:c r="F7" s="12" t="str">
        <x:v>In Progress</x:v>
      </x:c>
      <x:c r="G7" s="14"/>
      <x:c r="H7" s="12" t="str">
        <x:v>Fix under validation.</x:v>
      </x:c>
    </x:row>
    <x:row r="8">
      <x:c r="A8" s="12" t="str">
        <x:v>ACT-007</x:v>
      </x:c>
      <x:c r="B8" s="12" t="str">
        <x:v>UAT/Phase2 Meeting - 24-Jun</x:v>
      </x:c>
      <x:c r="C8" s="12" t="str">
        <x:v>Redeploy legacy application after performance fixes</x:v>
      </x:c>
      <x:c r="D8" s="12" t="str">
        <x:v>Ryan Kim</x:v>
      </x:c>
      <x:c r="E8" s="14" t="n">
        <x:v>46206</x:v>
      </x:c>
      <x:c r="F8" s="12" t="str">
        <x:v>Open</x:v>
      </x:c>
      <x:c r="G8" s="14"/>
      <x:c r="H8" s="12" t="str">
        <x:v>Entry dependency for modernized production sanity.</x:v>
      </x:c>
    </x:row>
    <x:row r="9">
      <x:c r="A9" s="12" t="str">
        <x:v>ACT-008</x:v>
      </x:c>
      <x:c r="B9" s="12" t="str">
        <x:v>UAT/Phase2 Meeting - 24-Jun</x:v>
      </x:c>
      <x:c r="C9" s="12" t="str">
        <x:v>Share Unified Identity API access and sandbox credentials</x:v>
      </x:c>
      <x:c r="D9" s="12" t="str">
        <x:v>Noah Patel</x:v>
      </x:c>
      <x:c r="E9" s="14" t="n">
        <x:v>46202</x:v>
      </x:c>
      <x:c r="F9" s="12" t="str">
        <x:v>Open</x:v>
      </x:c>
      <x:c r="G9" s="14"/>
      <x:c r="H9" s="12" t="str">
        <x:v>Escalated after missed initial target.</x:v>
      </x:c>
    </x:row>
    <x:row r="10">
      <x:c r="A10" s="12" t="str">
        <x:v>ACT-009</x:v>
      </x:c>
      <x:c r="B10" s="12" t="str">
        <x:v>UAT/Phase2 Meeting - 24-Jun</x:v>
      </x:c>
      <x:c r="C10" s="12" t="str">
        <x:v>Provide migration field mapping and sample payloads</x:v>
      </x:c>
      <x:c r="D10" s="12" t="str">
        <x:v>Maya Collins</x:v>
      </x:c>
      <x:c r="E10" s="14" t="n">
        <x:v>46203</x:v>
      </x:c>
      <x:c r="F10" s="12" t="str">
        <x:v>Open</x:v>
      </x:c>
      <x:c r="G10" s="14"/>
      <x:c r="H10" s="12" t="str">
        <x:v>Include invalid and duplicate examples.</x:v>
      </x:c>
    </x:row>
    <x:row r="11">
      <x:c r="A11" s="12" t="str">
        <x:v>ACT-010</x:v>
      </x:c>
      <x:c r="B11" s="12" t="str">
        <x:v>UAT/Phase2 Meeting - 24-Jun</x:v>
      </x:c>
      <x:c r="C11" s="12" t="str">
        <x:v>Prepare impact assessment for migration utility</x:v>
      </x:c>
      <x:c r="D11" s="12" t="str">
        <x:v>Sofia Ramirez</x:v>
      </x:c>
      <x:c r="E11" s="14" t="n">
        <x:v>46206</x:v>
      </x:c>
      <x:c r="F11" s="12" t="str">
        <x:v>Open</x:v>
      </x:c>
      <x:c r="G11" s="14"/>
      <x:c r="H11" s="12" t="str">
        <x:v>Depends on ACT-008 and ACT-009.</x:v>
      </x:c>
    </x:row>
    <x:row r="12">
      <x:c r="A12" s="12" t="str">
        <x:v>ACT-011</x:v>
      </x:c>
      <x:c r="B12" s="12" t="str">
        <x:v>UAT/Phase2 Meeting - 24-Jun</x:v>
      </x:c>
      <x:c r="C12" s="12" t="str">
        <x:v>Publish revised integrated milestone plan</x:v>
      </x:c>
      <x:c r="D12" s="12" t="str">
        <x:v>Alex Morgan</x:v>
      </x:c>
      <x:c r="E12" s="14" t="n">
        <x:v>46210</x:v>
      </x:c>
      <x:c r="F12" s="12" t="str">
        <x:v>Open</x:v>
      </x:c>
      <x:c r="G12" s="14"/>
      <x:c r="H12" s="12" t="str">
        <x:v>Will be finalized after UAT actually starts.</x:v>
      </x:c>
    </x:row>
  </x:sheetData>
  <x:pageMargins left="0.7" right="0.7" top="0.75" bottom="0.75" header="0.3" footer="0.3"/>
  <x:tableParts count="1">
    <x:tablePart xmlns:r="http://schemas.openxmlformats.org/officeDocument/2006/relationships" r:id="R4554d45017bf4d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4" max="4" width="20" hidden="0" customWidth="1"/>
    <x:col min="5" max="5" width="12" hidden="0" customWidth="1"/>
  </x:cols>
  <x:sheetData>
    <x:row r="1">
      <x:c r="A1" s="18" t="str">
        <x:v>Nexus Modernization - Project Control Summary</x:v>
      </x:c>
      <x:c r="B1" s="18"/>
      <x:c r="C1" s="18"/>
      <x:c r="D1" s="18"/>
      <x:c r="E1" s="18"/>
      <x:c r="F1" s="18"/>
    </x:row>
    <x:row r="2">
      <x:c r="A2" s="23" t="str">
        <x:v>SYNTHETIC PORTFOLIO DATASET - all names, metrics, dates and events are fictional.</x:v>
      </x:c>
      <x:c r="B2" s="23"/>
      <x:c r="C2" s="23"/>
      <x:c r="D2" s="23"/>
      <x:c r="E2" s="23"/>
      <x:c r="F2" s="23"/>
    </x:row>
    <x:row r="4">
      <x:c r="A4" s="28" t="str">
        <x:v>KPI</x:v>
      </x:c>
      <x:c r="B4" s="28" t="str">
        <x:v>Value</x:v>
      </x:c>
      <x:c r="D4" s="28" t="str">
        <x:v>Dependency Status</x:v>
      </x:c>
      <x:c r="E4" s="28" t="str">
        <x:v>Count</x:v>
      </x:c>
    </x:row>
    <x:row r="5">
      <x:c r="A5" t="str">
        <x:v>Open Dependencies</x:v>
      </x:c>
      <x:c r="B5" t="n">
        <x:f>COUNTIF(Dependencies!F2:F100,"Open")</x:f>
        <x:v>4</x:v>
      </x:c>
      <x:c r="D5" t="str">
        <x:v>Open</x:v>
      </x:c>
      <x:c r="E5" t="n">
        <x:f>COUNTIF(Dependencies!F2:F100,"Open")</x:f>
        <x:v>4</x:v>
      </x:c>
    </x:row>
    <x:row r="6">
      <x:c r="A6" t="str">
        <x:v>Dependencies In Progress</x:v>
      </x:c>
      <x:c r="B6" t="n">
        <x:f>COUNTIF(Dependencies!F2:F100,"In Progress")</x:f>
        <x:v>3</x:v>
      </x:c>
      <x:c r="D6" t="str">
        <x:v>In Progress</x:v>
      </x:c>
      <x:c r="E6" t="n">
        <x:f>COUNTIF(Dependencies!F2:F100,"In Progress")</x:f>
        <x:v>3</x:v>
      </x:c>
    </x:row>
    <x:row r="7">
      <x:c r="A7" t="str">
        <x:v>Open Risks / Issues</x:v>
      </x:c>
      <x:c r="B7" t="n">
        <x:f>COUNTIF(Risks_Issues!H2:H100,"Open")+COUNTIF(Risks_Issues!H2:H100,"In Progress")</x:f>
        <x:v>8</x:v>
      </x:c>
      <x:c r="D7" t="str">
        <x:v>Resolved</x:v>
      </x:c>
      <x:c r="E7" t="n">
        <x:f>COUNTIF(Dependencies!F2:F100,"Resolved")</x:f>
        <x:v>7</x:v>
      </x:c>
    </x:row>
    <x:row r="8">
      <x:c r="A8" t="str">
        <x:v>Open Actions</x:v>
      </x:c>
      <x:c r="B8" t="n">
        <x:f>COUNTIF(Actions!F2:F100,"Open")</x:f>
        <x:v>5</x:v>
      </x:c>
      <x:c r="D8" t="str">
        <x:v>On Hold</x:v>
      </x:c>
      <x:c r="E8" t="n">
        <x:f>COUNTIF(Dependencies!F2:F100,"On Hold")</x:f>
        <x:v>0</x:v>
      </x:c>
    </x:row>
    <x:row r="9">
      <x:c r="A9" t="str">
        <x:v>Actions In Progress</x:v>
      </x:c>
      <x:c r="B9" t="n">
        <x:f>COUNTIF(Actions!F2:F100,"In Progress")</x:f>
        <x:v>1</x:v>
      </x:c>
    </x:row>
    <x:row r="12">
      <x:c r="A12" s="33" t="str">
        <x:v>Dataset Design Notes</x:v>
      </x:c>
      <x:c r="B12" s="33"/>
      <x:c r="C12" s="33"/>
      <x:c r="D12" s="33"/>
      <x:c r="E12" s="33"/>
      <x:c r="F12" s="33"/>
    </x:row>
    <x:row r="13">
      <x:c r="A13" s="36" t="str">
        <x:v>This workbook is intentionally consistent with the synthetic Project Overview, meeting minutes, and weekly status reports. It includes resolved and unresolved dependencies, evolving milestone risk, scope change, and cross-document action ownership so a retrieval-augmented AI assistant can answer questions that require chronology, status reasoning, and source grounding.</x:v>
      </x:c>
      <x:c r="B13" s="36"/>
      <x:c r="C13" s="36"/>
      <x:c r="D13" s="36"/>
      <x:c r="E13" s="36"/>
      <x:c r="F13" s="36"/>
    </x:row>
    <x:row r="14">
      <x:c r="A14" s="36"/>
      <x:c r="B14" s="36"/>
      <x:c r="C14" s="36"/>
      <x:c r="D14" s="36"/>
      <x:c r="E14" s="36"/>
      <x:c r="F14" s="36"/>
    </x:row>
    <x:row r="15">
      <x:c r="A15" s="36"/>
      <x:c r="B15" s="36"/>
      <x:c r="C15" s="36"/>
      <x:c r="D15" s="36"/>
      <x:c r="E15" s="36"/>
      <x:c r="F15" s="36"/>
    </x:row>
    <x:row r="16">
      <x:c r="A16" s="36"/>
      <x:c r="B16" s="36"/>
      <x:c r="C16" s="36"/>
      <x:c r="D16" s="36"/>
      <x:c r="E16" s="36"/>
      <x:c r="F16" s="36"/>
    </x:row>
    <x:row r="17">
      <x:c r="A17" s="36"/>
      <x:c r="B17" s="36"/>
      <x:c r="C17" s="36"/>
      <x:c r="D17" s="36"/>
      <x:c r="E17" s="36"/>
      <x:c r="F17" s="36"/>
    </x:row>
  </x:sheetData>
  <x:mergeCells>
    <x:mergeCell ref="A1:F1"/>
    <x:mergeCell ref="A2:F2"/>
    <x:mergeCell ref="A12:F12"/>
    <x:mergeCell ref="A13:F17"/>
  </x:mergeCells>
  <x:pageMargins left="0.7" right="0.7" top="0.75" bottom="0.75" header="0.3" footer="0.3"/>
  <x:drawing xmlns:r="http://schemas.openxmlformats.org/officeDocument/2006/relationships" r:id="R1f398e921cbc4a4b"/>
</x:worksheet>
</file>